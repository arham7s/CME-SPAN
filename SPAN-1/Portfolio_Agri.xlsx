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 Trivedi\Downloads\"/>
    </mc:Choice>
  </mc:AlternateContent>
  <xr:revisionPtr revIDLastSave="0" documentId="13_ncr:1_{D1BA21D6-2855-42C4-97BB-56A9139C8E49}" xr6:coauthVersionLast="45" xr6:coauthVersionMax="45" xr10:uidLastSave="{00000000-0000-0000-0000-000000000000}"/>
  <bookViews>
    <workbookView xWindow="-120" yWindow="-120" windowWidth="20730" windowHeight="11160" xr2:uid="{A6183919-26AF-4C8D-88F5-CC1DF405B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H9" i="1" l="1"/>
</calcChain>
</file>

<file path=xl/sharedStrings.xml><?xml version="1.0" encoding="utf-8"?>
<sst xmlns="http://schemas.openxmlformats.org/spreadsheetml/2006/main" count="37" uniqueCount="21">
  <si>
    <t>Commodity</t>
  </si>
  <si>
    <t>Lot Size
(MT)</t>
  </si>
  <si>
    <t>Quote
Unit</t>
  </si>
  <si>
    <t>Expiry
Cycle</t>
  </si>
  <si>
    <t>Mar-26
Settle (INR)</t>
  </si>
  <si>
    <t>Lots</t>
  </si>
  <si>
    <t>Direction</t>
  </si>
  <si>
    <t>Notional
(INR)</t>
  </si>
  <si>
    <t>Cotton Seed Oilcake</t>
  </si>
  <si>
    <t>per 20 kg</t>
  </si>
  <si>
    <t>Monthly</t>
  </si>
  <si>
    <t>Long</t>
  </si>
  <si>
    <t>Guar Seed</t>
  </si>
  <si>
    <t>per Quintal</t>
  </si>
  <si>
    <t>Guar Gum</t>
  </si>
  <si>
    <t>Turmeric</t>
  </si>
  <si>
    <t>Coriander (Dhaniya)</t>
  </si>
  <si>
    <t>Short</t>
  </si>
  <si>
    <t>Castor Seed</t>
  </si>
  <si>
    <t>Jeera (Cumin)</t>
  </si>
  <si>
    <t>PORTFOLIO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</si>
</sst>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3" fontId="1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0A6F-5F61-4998-A85B-58C3B9C15186}">
  <dimension ref="A1:H9"/>
  <sheetViews>
    <sheetView tabSelected="1" workbookViewId="0">
      <selection activeCell="O12" sqref="O12"/>
    </sheetView>
  </sheetViews>
  <sheetFormatPr defaultRowHeight="15" x14ac:dyDescent="0.25"/>
  <cols>
    <col min="1" max="1" width="14.140625" style="1" customWidth="1"/>
    <col min="2" max="2" width="9.28515625" style="1" bestFit="1" customWidth="1"/>
    <col min="3" max="4" width="9.140625" style="1"/>
    <col min="5" max="6" width="9.28515625" style="1" bestFit="1" customWidth="1"/>
    <col min="7" max="7" width="9.140625" style="1"/>
    <col min="8" max="8" width="9.85546875" style="1" bestFit="1" customWidth="1"/>
    <col min="9" max="16384" width="9.140625" style="1"/>
  </cols>
  <sheetData>
    <row r="1" spans="1:8" ht="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x14ac:dyDescent="0.25">
      <c r="A2" s="3" t="s">
        <v>8</v>
      </c>
      <c r="B2" s="5">
        <v>10</v>
      </c>
      <c r="C2" s="4" t="s">
        <v>9</v>
      </c>
      <c r="D2" s="4" t="s">
        <v>10</v>
      </c>
      <c r="E2" s="6">
        <v>361</v>
      </c>
      <c r="F2" s="5">
        <v>5</v>
      </c>
      <c r="G2" s="4" t="s">
        <v>11</v>
      </c>
      <c r="H2" s="7">
        <f>E2*50*B2*F2</f>
        <v>902500</v>
      </c>
    </row>
    <row r="3" spans="1:8" ht="24" x14ac:dyDescent="0.25">
      <c r="A3" s="3" t="s">
        <v>12</v>
      </c>
      <c r="B3" s="5">
        <v>10</v>
      </c>
      <c r="C3" s="4" t="s">
        <v>13</v>
      </c>
      <c r="D3" s="4" t="s">
        <v>10</v>
      </c>
      <c r="E3" s="6">
        <v>4980</v>
      </c>
      <c r="F3" s="5">
        <v>3</v>
      </c>
      <c r="G3" s="4" t="s">
        <v>11</v>
      </c>
      <c r="H3" s="7">
        <f>E3*10*B3*F3</f>
        <v>1494000</v>
      </c>
    </row>
    <row r="4" spans="1:8" ht="24" x14ac:dyDescent="0.25">
      <c r="A4" s="3" t="s">
        <v>14</v>
      </c>
      <c r="B4" s="5">
        <v>10</v>
      </c>
      <c r="C4" s="4" t="s">
        <v>13</v>
      </c>
      <c r="D4" s="4" t="s">
        <v>10</v>
      </c>
      <c r="E4" s="6">
        <v>9450</v>
      </c>
      <c r="F4" s="5">
        <v>2</v>
      </c>
      <c r="G4" s="4" t="s">
        <v>11</v>
      </c>
      <c r="H4" s="7">
        <f>E4*10*B4*F4</f>
        <v>1890000</v>
      </c>
    </row>
    <row r="5" spans="1:8" ht="24" x14ac:dyDescent="0.25">
      <c r="A5" s="3" t="s">
        <v>15</v>
      </c>
      <c r="B5" s="5">
        <v>5</v>
      </c>
      <c r="C5" s="4" t="s">
        <v>13</v>
      </c>
      <c r="D5" s="4" t="s">
        <v>10</v>
      </c>
      <c r="E5" s="6">
        <v>14100</v>
      </c>
      <c r="F5" s="5">
        <v>4</v>
      </c>
      <c r="G5" s="4" t="s">
        <v>11</v>
      </c>
      <c r="H5" s="7">
        <f>E5*50*B5*F5</f>
        <v>14100000</v>
      </c>
    </row>
    <row r="6" spans="1:8" ht="24" x14ac:dyDescent="0.25">
      <c r="A6" s="3" t="s">
        <v>16</v>
      </c>
      <c r="B6" s="5">
        <v>5</v>
      </c>
      <c r="C6" s="4" t="s">
        <v>13</v>
      </c>
      <c r="D6" s="4" t="s">
        <v>10</v>
      </c>
      <c r="E6" s="6">
        <v>7200</v>
      </c>
      <c r="F6" s="5">
        <v>3</v>
      </c>
      <c r="G6" s="4" t="s">
        <v>17</v>
      </c>
      <c r="H6" s="7">
        <f>E6*50*B6*F6</f>
        <v>5400000</v>
      </c>
    </row>
    <row r="7" spans="1:8" ht="24" x14ac:dyDescent="0.25">
      <c r="A7" s="3" t="s">
        <v>18</v>
      </c>
      <c r="B7" s="5">
        <v>10</v>
      </c>
      <c r="C7" s="4" t="s">
        <v>13</v>
      </c>
      <c r="D7" s="4" t="s">
        <v>10</v>
      </c>
      <c r="E7" s="6">
        <v>5800</v>
      </c>
      <c r="F7" s="5">
        <v>3</v>
      </c>
      <c r="G7" s="4" t="s">
        <v>11</v>
      </c>
      <c r="H7" s="7">
        <f>E7*10*B7*F7</f>
        <v>1740000</v>
      </c>
    </row>
    <row r="8" spans="1:8" ht="24" x14ac:dyDescent="0.25">
      <c r="A8" s="3" t="s">
        <v>19</v>
      </c>
      <c r="B8" s="5">
        <v>3</v>
      </c>
      <c r="C8" s="4" t="s">
        <v>13</v>
      </c>
      <c r="D8" s="4" t="s">
        <v>10</v>
      </c>
      <c r="E8" s="6">
        <v>23800</v>
      </c>
      <c r="F8" s="5">
        <v>2</v>
      </c>
      <c r="G8" s="4" t="s">
        <v>17</v>
      </c>
      <c r="H8" s="7">
        <f>E8*30*B8*F8</f>
        <v>4284000</v>
      </c>
    </row>
    <row r="9" spans="1:8" x14ac:dyDescent="0.25">
      <c r="A9" s="8" t="s">
        <v>20</v>
      </c>
      <c r="B9" s="8"/>
      <c r="C9" s="8"/>
      <c r="D9" s="8"/>
      <c r="E9" s="8"/>
      <c r="F9" s="9"/>
      <c r="G9" s="9"/>
      <c r="H9" s="10">
        <f>SUM(H2:H8)</f>
        <v>29810500</v>
      </c>
    </row>
  </sheetData>
  <mergeCells count="1"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Trivedi</dc:creator>
  <cp:lastModifiedBy>Manav Trivedi</cp:lastModifiedBy>
  <dcterms:created xsi:type="dcterms:W3CDTF">2026-04-06T08:59:25Z</dcterms:created>
  <dcterms:modified xsi:type="dcterms:W3CDTF">2026-04-06T09:05:57Z</dcterms:modified>
</cp:coreProperties>
</file>